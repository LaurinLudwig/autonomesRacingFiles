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uri\Documents\0Uni\autonomos racing\"/>
    </mc:Choice>
  </mc:AlternateContent>
  <xr:revisionPtr revIDLastSave="0" documentId="8_{F1F7E98C-E9C0-402C-B2A4-4AE4C63040D3}" xr6:coauthVersionLast="47" xr6:coauthVersionMax="47" xr10:uidLastSave="{00000000-0000-0000-0000-000000000000}"/>
  <bookViews>
    <workbookView xWindow="-108" yWindow="-108" windowWidth="24792" windowHeight="14856" xr2:uid="{EDB66D4D-3A17-4635-AF09-23B86385E792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D31" i="1"/>
  <c r="E31" i="1" s="1"/>
  <c r="D30" i="1"/>
  <c r="E30" i="1" s="1"/>
  <c r="M32" i="1"/>
  <c r="N32" i="1" s="1"/>
  <c r="E40" i="1"/>
  <c r="E39" i="1"/>
  <c r="E33" i="1"/>
  <c r="E32" i="1"/>
  <c r="E34" i="1"/>
  <c r="E35" i="1"/>
  <c r="E36" i="1"/>
  <c r="E37" i="1"/>
  <c r="E38" i="1"/>
  <c r="E28" i="1"/>
  <c r="M31" i="1"/>
  <c r="N31" i="1" s="1"/>
  <c r="E29" i="1"/>
  <c r="M30" i="1"/>
  <c r="N30" i="1" s="1"/>
  <c r="E22" i="1"/>
  <c r="E23" i="1"/>
  <c r="E4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5" i="1"/>
  <c r="E43" i="1" l="1"/>
  <c r="I3" i="1"/>
  <c r="I7" i="1" s="1"/>
</calcChain>
</file>

<file path=xl/sharedStrings.xml><?xml version="1.0" encoding="utf-8"?>
<sst xmlns="http://schemas.openxmlformats.org/spreadsheetml/2006/main" count="110" uniqueCount="90">
  <si>
    <t xml:space="preserve">vorläufiger Finanzplan Antrag: Testplattformen für Autonomes Fahren  </t>
  </si>
  <si>
    <t>Stück</t>
  </si>
  <si>
    <t>Artikel</t>
  </si>
  <si>
    <t>Information</t>
  </si>
  <si>
    <t>Preis</t>
  </si>
  <si>
    <t>Gesamt</t>
  </si>
  <si>
    <t>Link</t>
  </si>
  <si>
    <t xml:space="preserve">Preis Gesamt für eine beginner und eine fortgeschrittene Plattform </t>
  </si>
  <si>
    <t>(Alle Preise mit Steuern für End-User)</t>
  </si>
  <si>
    <t>NVIDIA Jetson Orin NX Bundle</t>
  </si>
  <si>
    <t>https://www.reichelt.com/ch/de/shop/produkt/nvidia_jetson_orin_nx_bundle_8x_2_ghz_16_gb_ddr5-377868</t>
  </si>
  <si>
    <t>TIM361-2134101</t>
  </si>
  <si>
    <t>Preis auf Anfrage</t>
  </si>
  <si>
    <t>https://www.sick.com/de/de/produkte/lidar-und-radarsensoren/lidar-sensoren/tim/tim361-2134101/p/p369447?tab=detail</t>
  </si>
  <si>
    <t>Preis Gesamt für beantragte Summe für jeweils zwei Plattformen</t>
  </si>
  <si>
    <t>ODrive S1 and M8325s</t>
  </si>
  <si>
    <t>https://odriverobotics.com/shop/s1-and-m8325s-start-kit</t>
  </si>
  <si>
    <t>1/7 RC Wheels</t>
  </si>
  <si>
    <t>https://www.conrad.de/de/p/reely-re-7867935-ersatzteil-komplettraeder-hinten-2622645.html#productDescription</t>
  </si>
  <si>
    <t>Harness Build Kit For ODrive S1</t>
  </si>
  <si>
    <t>https://odriverobotics.com/shop/harness-build-kit-for-odrive-s1</t>
  </si>
  <si>
    <t>Standard Servo</t>
  </si>
  <si>
    <t>https://www.reichelt.com/it/de/shop/produkt/standardservo_13_kg_digital_metallgetriebe-280644</t>
  </si>
  <si>
    <t>Servo Tester</t>
  </si>
  <si>
    <t>https://www.reichelt.com/it/de/shop/produkt/servotester_fuer_3_servos_ccpm_mini-119122</t>
  </si>
  <si>
    <t>DYNAMIXEL AX-12A Servomotor</t>
  </si>
  <si>
    <t>Alternative für Standard Servo, Comm. Over Uart</t>
  </si>
  <si>
    <t>https://www.reichelt.com/it/de/shop/produkt/servomotor_robotik_9_0_-_12_v_dc-249909</t>
  </si>
  <si>
    <t>1/7 RC Auto Plattform</t>
  </si>
  <si>
    <t>https://www.conrad.de/de/p/reely-urban-green-brushless-1-7-rc-modellauto-elektro-strassenmodell-allradantrieb-4wd-rtr-2-4-ghz-mit-lichteffekt-t-2586837.html</t>
  </si>
  <si>
    <t>ODrive S1</t>
  </si>
  <si>
    <t>Foc BLDC Motor Driver for 1/7 Car</t>
  </si>
  <si>
    <t>https://eu.odriverobotics.com/shop/odrive-s1</t>
  </si>
  <si>
    <t>Odrive S1 Case</t>
  </si>
  <si>
    <t>https://eu.odriverobotics.com/shop/enclosure-for-odrive-s1</t>
  </si>
  <si>
    <t>Mono IMX219-160</t>
  </si>
  <si>
    <t>https://www.conrad.de/de/p/waveshare-imx219-160-ir-kamera-8mp-160-fov-infrarot-ai-gesichtserkennung-jetson-nano-xavier-nx-906009355.html</t>
  </si>
  <si>
    <t>Stereo IMX219-83</t>
  </si>
  <si>
    <t>https://www.conrad.de/de/p/stereo-kamera-modul-imx219-83-8-megapixel-838242168.html</t>
  </si>
  <si>
    <t>Akku Ladegerät</t>
  </si>
  <si>
    <t>https://www.reichelt.com/it/de/shop/produkt/ladegeraet_fuer_akkupacks_fuer_1-6s_max_6_a-271070</t>
  </si>
  <si>
    <t>24v Lipo Akku</t>
  </si>
  <si>
    <t>https://www.reichelt.com/it/de/shop/produkt/lipo_akku_lemonrc_3300_-_22_2v_35c_-385712</t>
  </si>
  <si>
    <t>5v Regler mit Abschaltung</t>
  </si>
  <si>
    <t>https://www.conrad.de/de/p/hobbywing-bec-3a-ubec-bec-spannungsregler-5-5-26-v-2108347.html</t>
  </si>
  <si>
    <t>Step up/down wandler für jetson</t>
  </si>
  <si>
    <t>Verschiedenes</t>
  </si>
  <si>
    <t>Update 11.11.2024</t>
  </si>
  <si>
    <t>Anz</t>
  </si>
  <si>
    <t>ohne MwSt</t>
  </si>
  <si>
    <t>mit</t>
  </si>
  <si>
    <t>ges</t>
  </si>
  <si>
    <t>JET ORIN 4012: NVIDIA Jetson Orin NX Bundle, 8x 2 GHz, 16 GB DDR5 bei reichelt kaufen</t>
  </si>
  <si>
    <t>gibt’s nur da</t>
  </si>
  <si>
    <t>RPLIDAR A3M1 360° LiDAR (25m)</t>
  </si>
  <si>
    <t>https://www.reichelt.de/rplidar-a3m1-360-lidar-25m--rplidar-a3m1-p287745.html?&amp;trstct=vrt_pdn&amp;nbc=1</t>
  </si>
  <si>
    <t xml:space="preserve"> Angebot</t>
  </si>
  <si>
    <t>Alternative</t>
  </si>
  <si>
    <t>ohne</t>
  </si>
  <si>
    <t>VESC 6MkVI</t>
  </si>
  <si>
    <t>The Amazing TRAMPA VESC 6 MkVI gives Maximum power!</t>
  </si>
  <si>
    <t xml:space="preserve"> gibt’s nur da</t>
  </si>
  <si>
    <t>ODrive S1 — ODrive Europe</t>
  </si>
  <si>
    <t xml:space="preserve"> </t>
  </si>
  <si>
    <t>vesc 6 ppm cable for servo</t>
  </si>
  <si>
    <t>https://trampaboards.com/maytech-to-vesc-150mm-ppm-extension-cable--silicon-cable-24-awg-blackredwhite-p-24329.html</t>
  </si>
  <si>
    <t>Enclosure for ODrive S1 — ODrive Europe</t>
  </si>
  <si>
    <t>Raspberry Pi - Kamera, 5MP, 160°</t>
  </si>
  <si>
    <t>RPI WWCAM: Raspberry Pi - Kamera, 5MP, 160° bei reichelt elektronik</t>
  </si>
  <si>
    <t>Odrive USB-CAN Adapter</t>
  </si>
  <si>
    <t>USB-CAN Adapter — ODrive Europe</t>
  </si>
  <si>
    <t>Reely Urban Green Brushless 1:7 RC Modellauto Elektro Straßenmodell Allradantrieb (4WD) RtR 2,4 GHz mit Lichteffekt, T kaufen</t>
  </si>
  <si>
    <t>Angebot</t>
  </si>
  <si>
    <t>Akku Ladegerät IMAX B6AC V2</t>
  </si>
  <si>
    <t>IMAX B6AC V2: Ladegerät für Akkupacks, für 1 - 15 Zellen, max. 6 A, USB bei reichelt elektronik</t>
  </si>
  <si>
    <t>24v 6s 4300mah Lipo Akku</t>
  </si>
  <si>
    <t>https://www.conrad.de/de/p/lemonrc-modellbau-akkupack-lipo-22-2-v-4300-mah-zellen-zahl-6-35-c-softcase-xt90-2867021.html</t>
  </si>
  <si>
    <t>Screenshots</t>
  </si>
  <si>
    <t>MASTER C6354: AKKU-BEC für RC-Empfänger, 6 A bei reichelt elektronik</t>
  </si>
  <si>
    <t>24-12V wandler VE TR 24/12-5</t>
  </si>
  <si>
    <t>VE TR 24 - 12-5: DC - DC Konverter, 12,7 V, 5 A bei reichelt elektronik</t>
  </si>
  <si>
    <t>Relais GRV RELAY SPDT30</t>
  </si>
  <si>
    <t>GRV RELAY SPDT30: Arduino - Relais SPDT, 30 A, SLA-05VDC-SL-C bei reichelt elektronik</t>
  </si>
  <si>
    <t>Lipo Tasche EXTRON X3363</t>
  </si>
  <si>
    <t>EXTRON X3363: Lithium Tresor, inkl. Fireballs 3x 1L bei reichelt elektronik</t>
  </si>
  <si>
    <t>2,5mm2 Kabel</t>
  </si>
  <si>
    <t>GOOBAY 15099: Lautsprecherkabel 2x2,5mm² , 10 m rot/schwarz CU bei reichelt kaufen</t>
  </si>
  <si>
    <t>LiPo-Checker</t>
  </si>
  <si>
    <t>https://www.conrad.de/de/p/reely-lipo-checker-geeignet-fuer-batterie-zellen-2-7-1-st-re-6546762-2182254.html#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</si>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</sst>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8" fillId="0" borderId="0" xfId="0" applyFont="1" applyAlignment="1">
      <alignment vertical="top" wrapText="1"/>
    </xf>
    <xf numFmtId="6" fontId="18" fillId="0" borderId="0" xfId="0" applyNumberFormat="1" applyFont="1" applyAlignment="1">
      <alignment vertical="top" wrapText="1"/>
    </xf>
    <xf numFmtId="0" fontId="19" fillId="0" borderId="0" xfId="42" applyAlignment="1">
      <alignment vertical="top" wrapText="1"/>
    </xf>
    <xf numFmtId="6" fontId="18" fillId="0" borderId="0" xfId="0" applyNumberFormat="1" applyFont="1"/>
    <xf numFmtId="8" fontId="18" fillId="0" borderId="0" xfId="0" applyNumberFormat="1" applyFont="1"/>
    <xf numFmtId="0" fontId="18" fillId="0" borderId="10" xfId="0" applyFont="1" applyBorder="1"/>
    <xf numFmtId="0" fontId="19" fillId="0" borderId="0" xfId="42" applyAlignment="1">
      <alignment wrapText="1"/>
    </xf>
    <xf numFmtId="0" fontId="18" fillId="0" borderId="0" xfId="0" applyFont="1" applyAlignment="1">
      <alignment wrapText="1"/>
    </xf>
    <xf numFmtId="0" fontId="20" fillId="0" borderId="0" xfId="0" applyFont="1"/>
    <xf numFmtId="0" fontId="19" fillId="0" borderId="0" xfId="42"/>
    <xf numFmtId="0" fontId="18" fillId="0" borderId="11" xfId="0" applyFont="1" applyBorder="1"/>
    <xf numFmtId="0" fontId="18" fillId="0" borderId="11" xfId="0" applyFont="1" applyBorder="1" applyAlignment="1">
      <alignment wrapText="1"/>
    </xf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rad.de/de/p/reely-re-7867935-ersatzteil-komplettraeder-hinten-2622645.html" TargetMode="External"/><Relationship Id="rId13" Type="http://schemas.openxmlformats.org/officeDocument/2006/relationships/hyperlink" Target="https://www.reichelt.com/it/de/shop/produkt/lipo_akku_lemonrc_3300_-_22_2v_35c_-385712" TargetMode="External"/><Relationship Id="rId18" Type="http://schemas.openxmlformats.org/officeDocument/2006/relationships/hyperlink" Target="https://eu.odriverobotics.com/shop/odrive-s1" TargetMode="External"/><Relationship Id="rId26" Type="http://schemas.openxmlformats.org/officeDocument/2006/relationships/hyperlink" Target="https://www.reichelt.de/arduino-relais-spdt-30-a-sla-05vdc-sl-c-grv-relay-spdt30-p243033.html?PROVID=2788&amp;gad_source=1&amp;gclid=Cj0KCQiA88a5BhDPARIsAFj595iq1oQGp-4rryg-Vw4GZ2NddjZqx_RalCaDerzV67RzE8lPYh9D7LkaAlnaEALw_wcB" TargetMode="External"/><Relationship Id="rId3" Type="http://schemas.openxmlformats.org/officeDocument/2006/relationships/hyperlink" Target="https://odriverobotics.com/shop/harness-build-kit-for-odrive-s1" TargetMode="External"/><Relationship Id="rId21" Type="http://schemas.openxmlformats.org/officeDocument/2006/relationships/hyperlink" Target="https://www.conrad.de/de/p/reely-urban-green-brushless-1-7-rc-modellauto-elektro-strassenmodell-allradantrieb-4wd-rtr-2-4-ghz-mit-lichteffekt-t-2586837.html" TargetMode="External"/><Relationship Id="rId7" Type="http://schemas.openxmlformats.org/officeDocument/2006/relationships/hyperlink" Target="https://www.conrad.de/de/p/reely-urban-green-brushless-1-7-rc-modellauto-elektro-strassenmodell-allradantrieb-4wd-rtr-2-4-ghz-mit-lichteffekt-t-2586837.html" TargetMode="External"/><Relationship Id="rId12" Type="http://schemas.openxmlformats.org/officeDocument/2006/relationships/hyperlink" Target="https://www.reichelt.com/it/de/shop/produkt/ladegeraet_fuer_akkupacks_fuer_1-6s_max_6_a-271070" TargetMode="External"/><Relationship Id="rId17" Type="http://schemas.openxmlformats.org/officeDocument/2006/relationships/hyperlink" Target="https://www.reichelt.de/rplidar-a3m1-360-lidar-25m--rplidar-a3m1-p287745.html?&amp;trstct=vrt_pdn&amp;nbc=1" TargetMode="External"/><Relationship Id="rId25" Type="http://schemas.openxmlformats.org/officeDocument/2006/relationships/hyperlink" Target="https://www.reichelt.de/dc-dc-konverter-12-7-v-5-a-ve-tr-24-12-5-p300230.html?PROVID=2788&amp;gad_source=1&amp;gclid=Cj0KCQiA88a5BhDPARIsAFj595itVajb0nGR9eje9aN6QLm5NaqKUzUjDppCxFhv31e97Pt6-lb7kFMaAonCEALw_wcB" TargetMode="External"/><Relationship Id="rId2" Type="http://schemas.openxmlformats.org/officeDocument/2006/relationships/hyperlink" Target="https://odriverobotics.com/shop/s1-and-m8325s-start-kit" TargetMode="External"/><Relationship Id="rId16" Type="http://schemas.openxmlformats.org/officeDocument/2006/relationships/hyperlink" Target="https://www.reichelt.com/de/de/shop/produkt/nvidia_jetson_orin_nx_bundle_8x_2_ghz_16_gb_ddr5-377868" TargetMode="External"/><Relationship Id="rId20" Type="http://schemas.openxmlformats.org/officeDocument/2006/relationships/hyperlink" Target="https://www.reichelt.de/raspberry-pi-kamera-5mp-160--rpi-wwcam-p148944.html?PROVID=2788&amp;gad_source=1&amp;gclid=Cj0KCQiA88a5BhDPARIsAFj595gKb-AW-3wtEWcX9aFK_-RnjRSNIMrdKJOO1r4h1VzotGyzb9lfuB8aAqAlEALw_wcB" TargetMode="External"/><Relationship Id="rId29" Type="http://schemas.openxmlformats.org/officeDocument/2006/relationships/hyperlink" Target="https://eu.odriverobotics.com/shop/usb-can-adapter" TargetMode="External"/><Relationship Id="rId1" Type="http://schemas.openxmlformats.org/officeDocument/2006/relationships/hyperlink" Target="https://www.sick.com/de/de/produkte/lidar-und-radarsensoren/lidar-sensoren/tim/tim361-2134101/p/p369447?tab=detail" TargetMode="External"/><Relationship Id="rId6" Type="http://schemas.openxmlformats.org/officeDocument/2006/relationships/hyperlink" Target="https://www.reichelt.com/it/de/shop/produkt/servomotor_robotik_9_0_-_12_v_dc-249909" TargetMode="External"/><Relationship Id="rId11" Type="http://schemas.openxmlformats.org/officeDocument/2006/relationships/hyperlink" Target="https://www.conrad.de/de/p/stereo-kamera-modul-imx219-83-8-megapixel-838242168.html" TargetMode="External"/><Relationship Id="rId24" Type="http://schemas.openxmlformats.org/officeDocument/2006/relationships/hyperlink" Target="https://www.reichelt.de/akku-bec-fuer-rc-empfaenger-6-a-master-c6354-p265511.html?search=bec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reichelt.com/it/de/shop/produkt/standardservo_13_kg_digital_metallgetriebe-280644" TargetMode="External"/><Relationship Id="rId15" Type="http://schemas.openxmlformats.org/officeDocument/2006/relationships/hyperlink" Target="https://www.reichelt.com/ch/de/shop/produkt/nvidia_jetson_orin_nx_bundle_8x_2_ghz_16_gb_ddr5-377868" TargetMode="External"/><Relationship Id="rId23" Type="http://schemas.openxmlformats.org/officeDocument/2006/relationships/hyperlink" Target="https://www.conrad.de/de/p/lemonrc-modellbau-akkupack-lipo-22-2-v-4300-mah-zellen-zahl-6-35-c-softcase-xt90-2867021.html" TargetMode="External"/><Relationship Id="rId28" Type="http://schemas.openxmlformats.org/officeDocument/2006/relationships/hyperlink" Target="https://www.reichelt.com/ch/de/shop/produkt/lautsprecherkabel_2x2_5mm_10_m_rot_schwarz_cu-364183" TargetMode="External"/><Relationship Id="rId10" Type="http://schemas.openxmlformats.org/officeDocument/2006/relationships/hyperlink" Target="https://www.conrad.de/de/p/waveshare-imx219-160-ir-kamera-8mp-160-fov-infrarot-ai-gesichtserkennung-jetson-nano-xavier-nx-906009355.html" TargetMode="External"/><Relationship Id="rId19" Type="http://schemas.openxmlformats.org/officeDocument/2006/relationships/hyperlink" Target="https://eu.odriverobotics.com/shop/enclosure-for-odrive-s1" TargetMode="External"/><Relationship Id="rId31" Type="http://schemas.openxmlformats.org/officeDocument/2006/relationships/hyperlink" Target="https://trampaboards.com/maytech-to-vesc-150mm-ppm-extension-cable--silicon-cable-24-awg-blackredwhite-p-24329.html" TargetMode="External"/><Relationship Id="rId4" Type="http://schemas.openxmlformats.org/officeDocument/2006/relationships/hyperlink" Target="https://www.reichelt.com/it/de/shop/produkt/servotester_fuer_3_servos_ccpm_mini-119122" TargetMode="External"/><Relationship Id="rId9" Type="http://schemas.openxmlformats.org/officeDocument/2006/relationships/hyperlink" Target="https://eu.odriverobotics.com/shop/enclosure-for-odrive-s1" TargetMode="External"/><Relationship Id="rId14" Type="http://schemas.openxmlformats.org/officeDocument/2006/relationships/hyperlink" Target="https://www.conrad.de/de/p/hobbywing-bec-3a-ubec-bec-spannungsregler-5-5-26-v-2108347.html" TargetMode="External"/><Relationship Id="rId22" Type="http://schemas.openxmlformats.org/officeDocument/2006/relationships/hyperlink" Target="https://www.reichelt.de/ladegeraet-fuer-akkupacks-fuer-1-15-zellen-max-6-a-usb-imax-b6ac-v2-p182805.html?PROVID=2788&amp;gad_source=1&amp;gclid=Cj0KCQiA88a5BhDPARIsAFj595h_O-rQ0wUJCXoRB1Xf6GZGIestj3IfgszIG826gGKQcaYXnrKs4v4aAl0vEALw_wcB" TargetMode="External"/><Relationship Id="rId27" Type="http://schemas.openxmlformats.org/officeDocument/2006/relationships/hyperlink" Target="https://www.reichelt.de/lithium-tresor-inkl-fireballs-3x-1l-extron-x3363-p253651.html?&amp;nbc=1&amp;trstct=lsbght_sldr::108492" TargetMode="External"/><Relationship Id="rId30" Type="http://schemas.openxmlformats.org/officeDocument/2006/relationships/hyperlink" Target="https://trampaboards.com/vesc-6-mkvi--trampa-gives-you-maximum-power-p-3484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DA58-AB82-42BF-B1ED-CFE39F6D957F}">
  <dimension ref="A1:P43"/>
  <sheetViews>
    <sheetView tabSelected="1" topLeftCell="A22" zoomScale="102" workbookViewId="0">
      <selection activeCell="H35" sqref="H35"/>
    </sheetView>
  </sheetViews>
  <sheetFormatPr baseColWidth="10" defaultColWidth="11.5546875" defaultRowHeight="14.4" x14ac:dyDescent="0.3"/>
  <cols>
    <col min="1" max="1" width="13" style="1" customWidth="1"/>
    <col min="2" max="2" width="35.33203125" style="1" customWidth="1"/>
    <col min="3" max="3" width="26.33203125" style="1" customWidth="1"/>
    <col min="4" max="5" width="8.88671875" style="1" customWidth="1"/>
    <col min="6" max="6" width="24.109375" style="9" customWidth="1"/>
    <col min="7" max="9" width="11.5546875" style="1" customWidth="1"/>
    <col min="10" max="10" width="11.5546875" style="1"/>
    <col min="11" max="11" width="24.5546875" style="1" customWidth="1"/>
    <col min="12" max="16384" width="11.5546875" style="1"/>
  </cols>
  <sheetData>
    <row r="1" spans="1:10" x14ac:dyDescent="0.3">
      <c r="A1" s="10" t="s">
        <v>0</v>
      </c>
    </row>
    <row r="2" spans="1:10" ht="16.2" customHeight="1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I2" s="7" t="s">
        <v>7</v>
      </c>
    </row>
    <row r="3" spans="1:10" ht="16.2" customHeight="1" x14ac:dyDescent="0.3">
      <c r="I3" s="1" t="str">
        <f>SUM(E4:E27) &amp; "€"</f>
        <v>6750€</v>
      </c>
      <c r="J3" s="1" t="s">
        <v>8</v>
      </c>
    </row>
    <row r="4" spans="1:10" ht="16.2" customHeight="1" x14ac:dyDescent="0.3">
      <c r="A4" s="2">
        <v>2</v>
      </c>
      <c r="B4" s="2" t="s">
        <v>9</v>
      </c>
      <c r="C4" s="2"/>
      <c r="D4" s="3">
        <v>705</v>
      </c>
      <c r="E4" s="2">
        <f>PRODUCT(A4,D4)</f>
        <v>1410</v>
      </c>
      <c r="F4" s="4" t="s">
        <v>10</v>
      </c>
    </row>
    <row r="5" spans="1:10" ht="16.2" customHeight="1" x14ac:dyDescent="0.3">
      <c r="A5" s="2">
        <v>2</v>
      </c>
      <c r="B5" s="2" t="s">
        <v>11</v>
      </c>
      <c r="C5" s="2" t="s">
        <v>12</v>
      </c>
      <c r="D5" s="3">
        <v>1550</v>
      </c>
      <c r="E5" s="2">
        <f>PRODUCT(A5,D5)</f>
        <v>3100</v>
      </c>
      <c r="F5" s="4" t="s">
        <v>13</v>
      </c>
    </row>
    <row r="6" spans="1:10" ht="16.2" customHeight="1" thickBot="1" x14ac:dyDescent="0.35">
      <c r="A6" s="2"/>
      <c r="B6" s="2"/>
      <c r="C6" s="2"/>
      <c r="D6" s="3"/>
      <c r="E6" s="2"/>
      <c r="F6" s="4"/>
      <c r="I6" s="7" t="s">
        <v>14</v>
      </c>
    </row>
    <row r="7" spans="1:10" ht="16.2" customHeight="1" x14ac:dyDescent="0.3">
      <c r="A7" s="2">
        <v>2</v>
      </c>
      <c r="B7" s="2" t="s">
        <v>15</v>
      </c>
      <c r="C7" s="2"/>
      <c r="D7" s="3">
        <v>329</v>
      </c>
      <c r="E7" s="2">
        <f t="shared" ref="E7:E23" si="0">PRODUCT(A7,D7)</f>
        <v>658</v>
      </c>
      <c r="F7" s="4" t="s">
        <v>16</v>
      </c>
      <c r="I7" s="1">
        <f>I3*2</f>
        <v>13500</v>
      </c>
    </row>
    <row r="8" spans="1:10" ht="16.2" customHeight="1" x14ac:dyDescent="0.3">
      <c r="A8" s="1">
        <v>2</v>
      </c>
      <c r="B8" s="1" t="s">
        <v>17</v>
      </c>
      <c r="D8" s="5">
        <v>40</v>
      </c>
      <c r="E8" s="2">
        <f t="shared" si="0"/>
        <v>80</v>
      </c>
      <c r="F8" s="8" t="s">
        <v>18</v>
      </c>
    </row>
    <row r="9" spans="1:10" ht="16.2" customHeight="1" x14ac:dyDescent="0.3">
      <c r="A9" s="2">
        <v>6</v>
      </c>
      <c r="B9" s="2" t="s">
        <v>19</v>
      </c>
      <c r="C9" s="2"/>
      <c r="D9" s="3">
        <v>9</v>
      </c>
      <c r="E9" s="2">
        <f t="shared" si="0"/>
        <v>54</v>
      </c>
      <c r="F9" s="4" t="s">
        <v>20</v>
      </c>
    </row>
    <row r="10" spans="1:10" ht="16.2" customHeight="1" x14ac:dyDescent="0.3">
      <c r="A10" s="1">
        <v>2</v>
      </c>
      <c r="B10" s="1" t="s">
        <v>21</v>
      </c>
      <c r="D10" s="5">
        <v>25</v>
      </c>
      <c r="E10" s="2">
        <f t="shared" si="0"/>
        <v>50</v>
      </c>
      <c r="F10" s="8" t="s">
        <v>22</v>
      </c>
    </row>
    <row r="11" spans="1:10" ht="16.2" customHeight="1" x14ac:dyDescent="0.3">
      <c r="A11" s="1">
        <v>1</v>
      </c>
      <c r="B11" s="1" t="s">
        <v>23</v>
      </c>
      <c r="D11" s="5">
        <v>10</v>
      </c>
      <c r="E11" s="2">
        <f t="shared" si="0"/>
        <v>10</v>
      </c>
      <c r="F11" s="8" t="s">
        <v>24</v>
      </c>
    </row>
    <row r="12" spans="1:10" ht="16.2" customHeight="1" x14ac:dyDescent="0.3">
      <c r="E12" s="2">
        <f t="shared" si="0"/>
        <v>0</v>
      </c>
    </row>
    <row r="13" spans="1:10" ht="16.2" customHeight="1" x14ac:dyDescent="0.3">
      <c r="A13" s="1">
        <v>2</v>
      </c>
      <c r="B13" s="1" t="s">
        <v>25</v>
      </c>
      <c r="C13" s="1" t="s">
        <v>26</v>
      </c>
      <c r="D13" s="5">
        <v>60</v>
      </c>
      <c r="E13" s="2">
        <f t="shared" si="0"/>
        <v>120</v>
      </c>
      <c r="F13" s="8" t="s">
        <v>27</v>
      </c>
    </row>
    <row r="14" spans="1:10" ht="16.2" customHeight="1" x14ac:dyDescent="0.3">
      <c r="A14" s="1">
        <v>1</v>
      </c>
      <c r="B14" s="1" t="s">
        <v>28</v>
      </c>
      <c r="D14" s="5">
        <v>350</v>
      </c>
      <c r="E14" s="2">
        <f t="shared" si="0"/>
        <v>350</v>
      </c>
      <c r="F14" s="8" t="s">
        <v>29</v>
      </c>
    </row>
    <row r="15" spans="1:10" ht="16.2" customHeight="1" x14ac:dyDescent="0.3">
      <c r="A15" s="2">
        <v>1</v>
      </c>
      <c r="B15" s="2" t="s">
        <v>30</v>
      </c>
      <c r="C15" s="2" t="s">
        <v>31</v>
      </c>
      <c r="D15" s="3">
        <v>149</v>
      </c>
      <c r="E15" s="2">
        <f t="shared" si="0"/>
        <v>149</v>
      </c>
      <c r="F15" s="4" t="s">
        <v>32</v>
      </c>
    </row>
    <row r="16" spans="1:10" ht="16.2" customHeight="1" x14ac:dyDescent="0.3">
      <c r="A16" s="1">
        <v>1</v>
      </c>
      <c r="B16" s="1" t="s">
        <v>33</v>
      </c>
      <c r="D16" s="5">
        <v>19</v>
      </c>
      <c r="E16" s="2">
        <f t="shared" si="0"/>
        <v>19</v>
      </c>
      <c r="F16" s="8" t="s">
        <v>34</v>
      </c>
    </row>
    <row r="17" spans="1:16" ht="16.2" customHeight="1" x14ac:dyDescent="0.3">
      <c r="A17" s="1">
        <v>1</v>
      </c>
      <c r="B17" s="1" t="s">
        <v>35</v>
      </c>
      <c r="D17" s="5">
        <v>25</v>
      </c>
      <c r="E17" s="2">
        <f t="shared" si="0"/>
        <v>25</v>
      </c>
      <c r="F17" s="8" t="s">
        <v>36</v>
      </c>
    </row>
    <row r="18" spans="1:16" ht="16.2" customHeight="1" x14ac:dyDescent="0.3">
      <c r="A18" s="1">
        <v>1</v>
      </c>
      <c r="B18" s="1" t="s">
        <v>37</v>
      </c>
      <c r="D18" s="5">
        <v>45</v>
      </c>
      <c r="E18" s="2">
        <f t="shared" si="0"/>
        <v>45</v>
      </c>
      <c r="F18" s="8" t="s">
        <v>38</v>
      </c>
    </row>
    <row r="19" spans="1:16" ht="16.2" customHeight="1" x14ac:dyDescent="0.3">
      <c r="A19" s="1">
        <v>1</v>
      </c>
      <c r="B19" s="1" t="s">
        <v>39</v>
      </c>
      <c r="D19" s="5">
        <v>45</v>
      </c>
      <c r="E19" s="2">
        <f t="shared" si="0"/>
        <v>45</v>
      </c>
      <c r="F19" s="8" t="s">
        <v>40</v>
      </c>
    </row>
    <row r="20" spans="1:16" ht="16.2" customHeight="1" x14ac:dyDescent="0.3">
      <c r="A20" s="1">
        <v>2</v>
      </c>
      <c r="B20" s="1" t="s">
        <v>41</v>
      </c>
      <c r="D20" s="5">
        <v>85</v>
      </c>
      <c r="E20" s="2">
        <f t="shared" si="0"/>
        <v>170</v>
      </c>
      <c r="F20" s="8" t="s">
        <v>42</v>
      </c>
    </row>
    <row r="21" spans="1:16" ht="16.2" customHeight="1" x14ac:dyDescent="0.3">
      <c r="A21" s="1">
        <v>1</v>
      </c>
      <c r="B21" s="1" t="s">
        <v>43</v>
      </c>
      <c r="D21" s="6">
        <v>9.5</v>
      </c>
      <c r="E21" s="2">
        <f t="shared" si="0"/>
        <v>9.5</v>
      </c>
      <c r="F21" s="8" t="s">
        <v>44</v>
      </c>
    </row>
    <row r="22" spans="1:16" ht="16.2" customHeight="1" x14ac:dyDescent="0.3">
      <c r="A22" s="1">
        <v>1</v>
      </c>
      <c r="B22" s="1" t="s">
        <v>45</v>
      </c>
      <c r="D22" s="5">
        <v>50</v>
      </c>
      <c r="E22" s="2">
        <f t="shared" si="0"/>
        <v>50</v>
      </c>
    </row>
    <row r="23" spans="1:16" x14ac:dyDescent="0.3">
      <c r="A23" s="1">
        <v>1</v>
      </c>
      <c r="B23" s="1" t="s">
        <v>46</v>
      </c>
      <c r="D23" s="5">
        <v>405.5</v>
      </c>
      <c r="E23" s="2">
        <f t="shared" si="0"/>
        <v>405.5</v>
      </c>
    </row>
    <row r="26" spans="1:16" x14ac:dyDescent="0.3">
      <c r="A26" s="12" t="s">
        <v>47</v>
      </c>
      <c r="B26" s="12"/>
      <c r="C26" s="12"/>
      <c r="D26" s="12"/>
      <c r="E26" s="12"/>
      <c r="F26" s="13"/>
      <c r="G26" s="12"/>
      <c r="H26" s="12"/>
      <c r="I26" s="12"/>
      <c r="J26" s="12"/>
      <c r="K26" s="12"/>
      <c r="L26" s="12"/>
      <c r="M26" s="12"/>
      <c r="N26" s="12"/>
    </row>
    <row r="27" spans="1:16" x14ac:dyDescent="0.3">
      <c r="A27" s="1" t="s">
        <v>48</v>
      </c>
      <c r="B27" s="1" t="s">
        <v>2</v>
      </c>
      <c r="C27" s="1" t="s">
        <v>49</v>
      </c>
      <c r="D27" s="1" t="s">
        <v>50</v>
      </c>
      <c r="E27" s="1" t="s">
        <v>51</v>
      </c>
      <c r="F27" s="9" t="s">
        <v>6</v>
      </c>
    </row>
    <row r="28" spans="1:16" x14ac:dyDescent="0.3">
      <c r="A28" s="16">
        <v>4</v>
      </c>
      <c r="B28" s="2" t="s">
        <v>9</v>
      </c>
      <c r="D28" s="1">
        <v>996.8</v>
      </c>
      <c r="E28" s="1">
        <f>D28*A28</f>
        <v>3987.2</v>
      </c>
      <c r="F28" s="11" t="s">
        <v>52</v>
      </c>
      <c r="G28" s="1" t="s">
        <v>53</v>
      </c>
    </row>
    <row r="29" spans="1:16" x14ac:dyDescent="0.3">
      <c r="A29" s="16">
        <v>4</v>
      </c>
      <c r="B29" s="2" t="s">
        <v>54</v>
      </c>
      <c r="D29" s="1">
        <v>706.6</v>
      </c>
      <c r="E29" s="1">
        <f t="shared" ref="E29:E41" si="1">D29*A29</f>
        <v>2826.4</v>
      </c>
      <c r="F29" s="11" t="s">
        <v>55</v>
      </c>
      <c r="G29" s="15" t="s">
        <v>56</v>
      </c>
      <c r="H29" s="15"/>
      <c r="I29" s="10" t="s">
        <v>57</v>
      </c>
      <c r="J29" s="1" t="s">
        <v>48</v>
      </c>
      <c r="K29" s="1" t="s">
        <v>2</v>
      </c>
      <c r="L29" s="1" t="s">
        <v>58</v>
      </c>
      <c r="M29" s="1" t="s">
        <v>50</v>
      </c>
      <c r="N29" s="1" t="s">
        <v>51</v>
      </c>
    </row>
    <row r="30" spans="1:16" x14ac:dyDescent="0.3">
      <c r="A30" s="16">
        <v>5</v>
      </c>
      <c r="B30" s="1" t="s">
        <v>59</v>
      </c>
      <c r="C30" s="1">
        <v>195</v>
      </c>
      <c r="D30" s="1">
        <f xml:space="preserve"> C30 * 1.19</f>
        <v>232.04999999999998</v>
      </c>
      <c r="E30" s="1">
        <f>D30*A30</f>
        <v>1160.25</v>
      </c>
      <c r="F30" s="11" t="s">
        <v>60</v>
      </c>
      <c r="G30" s="1" t="s">
        <v>61</v>
      </c>
      <c r="J30" s="1">
        <v>4</v>
      </c>
      <c r="K30" s="2" t="s">
        <v>30</v>
      </c>
      <c r="L30">
        <v>149</v>
      </c>
      <c r="M30" s="1">
        <f>L30 *1.19</f>
        <v>177.31</v>
      </c>
      <c r="N30" s="1">
        <f>M30*J30</f>
        <v>709.24</v>
      </c>
      <c r="O30" s="11" t="s">
        <v>62</v>
      </c>
      <c r="P30" s="1" t="s">
        <v>63</v>
      </c>
    </row>
    <row r="31" spans="1:16" x14ac:dyDescent="0.3">
      <c r="A31" s="16">
        <v>8</v>
      </c>
      <c r="B31" s="1" t="s">
        <v>64</v>
      </c>
      <c r="C31" s="1">
        <v>2.5</v>
      </c>
      <c r="D31" s="1">
        <f xml:space="preserve"> C31 * 1.19</f>
        <v>2.9749999999999996</v>
      </c>
      <c r="E31" s="1">
        <f>D31*A31</f>
        <v>23.799999999999997</v>
      </c>
      <c r="F31" s="11" t="s">
        <v>65</v>
      </c>
      <c r="G31" s="1" t="s">
        <v>63</v>
      </c>
      <c r="J31" s="1">
        <v>4</v>
      </c>
      <c r="K31" s="1" t="s">
        <v>33</v>
      </c>
      <c r="L31" s="1">
        <v>19</v>
      </c>
      <c r="M31" s="1">
        <f>L31 * 1.19</f>
        <v>22.61</v>
      </c>
      <c r="N31" s="1">
        <f>M31*J31</f>
        <v>90.44</v>
      </c>
      <c r="O31" s="11" t="s">
        <v>66</v>
      </c>
      <c r="P31" s="1" t="s">
        <v>63</v>
      </c>
    </row>
    <row r="32" spans="1:16" x14ac:dyDescent="0.3">
      <c r="A32" s="1">
        <v>4</v>
      </c>
      <c r="B32" s="1" t="s">
        <v>67</v>
      </c>
      <c r="D32" s="1">
        <v>12.08</v>
      </c>
      <c r="E32" s="1">
        <f t="shared" si="1"/>
        <v>48.32</v>
      </c>
      <c r="F32" s="11" t="s">
        <v>68</v>
      </c>
      <c r="G32" s="1" t="s">
        <v>63</v>
      </c>
      <c r="J32" s="1">
        <v>4</v>
      </c>
      <c r="K32" s="1" t="s">
        <v>69</v>
      </c>
      <c r="L32" s="1">
        <v>39</v>
      </c>
      <c r="M32" s="1">
        <f>L32 * 1.19</f>
        <v>46.41</v>
      </c>
      <c r="N32" s="1">
        <f>M32*J32</f>
        <v>185.64</v>
      </c>
      <c r="O32" s="11" t="s">
        <v>70</v>
      </c>
    </row>
    <row r="33" spans="1:8" x14ac:dyDescent="0.3">
      <c r="A33" s="16">
        <v>4</v>
      </c>
      <c r="B33" s="1" t="s">
        <v>28</v>
      </c>
      <c r="D33" s="5">
        <v>335.29</v>
      </c>
      <c r="E33" s="1">
        <f t="shared" si="1"/>
        <v>1341.16</v>
      </c>
      <c r="F33" s="11" t="s">
        <v>71</v>
      </c>
      <c r="G33" s="15" t="s">
        <v>72</v>
      </c>
      <c r="H33" s="15"/>
    </row>
    <row r="34" spans="1:8" x14ac:dyDescent="0.3">
      <c r="A34" s="16">
        <v>4</v>
      </c>
      <c r="B34" s="1" t="s">
        <v>73</v>
      </c>
      <c r="D34" s="1">
        <v>71.95</v>
      </c>
      <c r="E34" s="1">
        <f t="shared" si="1"/>
        <v>287.8</v>
      </c>
      <c r="F34" s="11" t="s">
        <v>74</v>
      </c>
      <c r="G34" s="1" t="s">
        <v>63</v>
      </c>
    </row>
    <row r="35" spans="1:8" x14ac:dyDescent="0.3">
      <c r="A35" s="16">
        <v>8</v>
      </c>
      <c r="B35" s="1" t="s">
        <v>75</v>
      </c>
      <c r="D35" s="1">
        <v>99.95</v>
      </c>
      <c r="E35" s="1">
        <f t="shared" si="1"/>
        <v>799.6</v>
      </c>
      <c r="F35" s="11" t="s">
        <v>76</v>
      </c>
      <c r="G35" s="14" t="s">
        <v>77</v>
      </c>
      <c r="H35" s="14"/>
    </row>
    <row r="36" spans="1:8" x14ac:dyDescent="0.3">
      <c r="A36" s="1">
        <v>4</v>
      </c>
      <c r="B36" s="1" t="s">
        <v>43</v>
      </c>
      <c r="D36" s="1">
        <v>29.4</v>
      </c>
      <c r="E36" s="1">
        <f t="shared" si="1"/>
        <v>117.6</v>
      </c>
      <c r="F36" s="11" t="s">
        <v>78</v>
      </c>
      <c r="G36" s="1" t="s">
        <v>63</v>
      </c>
    </row>
    <row r="37" spans="1:8" x14ac:dyDescent="0.3">
      <c r="A37" s="1">
        <v>4</v>
      </c>
      <c r="B37" s="1" t="s">
        <v>79</v>
      </c>
      <c r="D37" s="1">
        <v>15.47</v>
      </c>
      <c r="E37" s="1">
        <f t="shared" si="1"/>
        <v>61.88</v>
      </c>
      <c r="F37" s="11" t="s">
        <v>80</v>
      </c>
      <c r="G37" s="1" t="s">
        <v>63</v>
      </c>
    </row>
    <row r="38" spans="1:8" x14ac:dyDescent="0.3">
      <c r="A38" s="1">
        <v>4</v>
      </c>
      <c r="B38" s="1" t="s">
        <v>81</v>
      </c>
      <c r="D38" s="1">
        <v>11.2</v>
      </c>
      <c r="E38" s="1">
        <f t="shared" si="1"/>
        <v>44.8</v>
      </c>
      <c r="F38" s="11" t="s">
        <v>82</v>
      </c>
      <c r="G38" s="1" t="s">
        <v>63</v>
      </c>
    </row>
    <row r="39" spans="1:8" x14ac:dyDescent="0.3">
      <c r="A39" s="1">
        <v>2</v>
      </c>
      <c r="B39" s="1" t="s">
        <v>83</v>
      </c>
      <c r="D39" s="1">
        <v>34.200000000000003</v>
      </c>
      <c r="E39" s="1">
        <f t="shared" si="1"/>
        <v>68.400000000000006</v>
      </c>
      <c r="F39" s="11" t="s">
        <v>84</v>
      </c>
      <c r="G39" s="1" t="s">
        <v>63</v>
      </c>
    </row>
    <row r="40" spans="1:8" x14ac:dyDescent="0.3">
      <c r="A40" s="1">
        <v>1</v>
      </c>
      <c r="B40" s="1" t="s">
        <v>85</v>
      </c>
      <c r="D40" s="1">
        <v>15</v>
      </c>
      <c r="E40" s="1">
        <f t="shared" si="1"/>
        <v>15</v>
      </c>
      <c r="F40" s="11" t="s">
        <v>86</v>
      </c>
      <c r="G40" s="1" t="s">
        <v>63</v>
      </c>
    </row>
    <row r="41" spans="1:8" ht="72" x14ac:dyDescent="0.3">
      <c r="A41" s="1">
        <v>4</v>
      </c>
      <c r="B41" s="1" t="s">
        <v>87</v>
      </c>
      <c r="D41" s="1">
        <v>17.989999999999998</v>
      </c>
      <c r="E41" s="1">
        <f t="shared" si="1"/>
        <v>71.959999999999994</v>
      </c>
      <c r="F41" s="8" t="s">
        <v>88</v>
      </c>
    </row>
    <row r="42" spans="1:8" ht="15" thickBot="1" x14ac:dyDescent="0.35">
      <c r="D42" s="7"/>
      <c r="E42" s="7"/>
    </row>
    <row r="43" spans="1:8" x14ac:dyDescent="0.3">
      <c r="D43" s="1" t="s">
        <v>89</v>
      </c>
      <c r="E43" s="1">
        <f>SUM(E28:E42)</f>
        <v>10854.169999999998</v>
      </c>
    </row>
  </sheetData>
  <hyperlinks>
    <hyperlink ref="F5" r:id="rId1" xr:uid="{C15F65CE-3B1E-476A-9B97-4AE40CE6E822}"/>
    <hyperlink ref="F7" r:id="rId2" xr:uid="{F1361100-0629-4579-B061-EECC80742A19}"/>
    <hyperlink ref="F9" r:id="rId3" xr:uid="{F35BA59A-95A5-4847-ACCE-4010637347F6}"/>
    <hyperlink ref="F11" r:id="rId4" xr:uid="{B6B9ABFD-EA45-4FE9-B99F-5D7267F97991}"/>
    <hyperlink ref="F10" r:id="rId5" xr:uid="{347E5E29-7A2F-4573-9403-EECF4E5ED0B1}"/>
    <hyperlink ref="F13" r:id="rId6" xr:uid="{B07F1B21-90C0-46CF-B517-CC53A4656C5F}"/>
    <hyperlink ref="F14" r:id="rId7" xr:uid="{074B130C-84F6-4C9B-AE1E-4CC56E0AF770}"/>
    <hyperlink ref="F8" r:id="rId8" location="productDescription" xr:uid="{F25A18A4-1A0E-4334-889D-C245FFA4F67A}"/>
    <hyperlink ref="F16" r:id="rId9" xr:uid="{15C65D3C-DDFC-4142-B9A5-F446B3E61397}"/>
    <hyperlink ref="F17" r:id="rId10" xr:uid="{B691165E-C945-4DAA-8E90-8F8342364B87}"/>
    <hyperlink ref="F18" r:id="rId11" xr:uid="{F6C01945-6A3C-4199-B3F1-8103D778AF37}"/>
    <hyperlink ref="F19" r:id="rId12" xr:uid="{17011CDA-DFDC-445B-9CE4-1CE70E8244E3}"/>
    <hyperlink ref="F20" r:id="rId13" xr:uid="{4302B5B7-896E-401E-A1AC-9B92E8626823}"/>
    <hyperlink ref="F21" r:id="rId14" xr:uid="{F6520818-22F9-4296-A110-DFC67EBBCCC0}"/>
    <hyperlink ref="F4" r:id="rId15" xr:uid="{DF549691-43A9-415B-A797-839A9B45A8F4}"/>
    <hyperlink ref="F28" r:id="rId16" display="https://www.reichelt.com/de/de/shop/produkt/nvidia_jetson_orin_nx_bundle_8x_2_ghz_16_gb_ddr5-377868" xr:uid="{7FE2B4B7-F96D-4CED-B463-083CF9767817}"/>
    <hyperlink ref="F29" r:id="rId17" xr:uid="{45094B60-3FCE-4A0E-B036-68BBA3631BD2}"/>
    <hyperlink ref="O30" r:id="rId18" display="https://eu.odriverobotics.com/shop/odrive-s1" xr:uid="{45DFEF14-2385-478D-9226-589B68D2568B}"/>
    <hyperlink ref="O31" r:id="rId19" display="https://eu.odriverobotics.com/shop/enclosure-for-odrive-s1" xr:uid="{ACB8FF0A-2266-4C5F-B5DA-55DF074A0FEA}"/>
    <hyperlink ref="F32" r:id="rId20" display="https://www.reichelt.de/raspberry-pi-kamera-5mp-160--rpi-wwcam-p148944.html?PROVID=2788&amp;gad_source=1&amp;gclid=Cj0KCQiA88a5BhDPARIsAFj595gKb-AW-3wtEWcX9aFK_-RnjRSNIMrdKJOO1r4h1VzotGyzb9lfuB8aAqAlEALw_wcB" xr:uid="{E300258D-8C16-43C5-9B3F-A0192AAD950E}"/>
    <hyperlink ref="F33" r:id="rId21" display="https://www.conrad.de/de/p/reely-urban-green-brushless-1-7-rc-modellauto-elektro-strassenmodell-allradantrieb-4wd-rtr-2-4-ghz-mit-lichteffekt-t-2586837.html" xr:uid="{9E259423-ADEF-4A61-BBB1-DFFFC1F88CDF}"/>
    <hyperlink ref="F34" r:id="rId22" display="https://www.reichelt.de/ladegeraet-fuer-akkupacks-fuer-1-15-zellen-max-6-a-usb-imax-b6ac-v2-p182805.html?PROVID=2788&amp;gad_source=1&amp;gclid=Cj0KCQiA88a5BhDPARIsAFj595h_O-rQ0wUJCXoRB1Xf6GZGIestj3IfgszIG826gGKQcaYXnrKs4v4aAl0vEALw_wcB" xr:uid="{C1A07E62-1EC3-4B6C-8EF7-BCE99C12998B}"/>
    <hyperlink ref="F35" r:id="rId23" xr:uid="{4D15F509-5AA2-4235-AEAD-AB77FDFA1AF5}"/>
    <hyperlink ref="F36" r:id="rId24" display="https://www.reichelt.de/akku-bec-fuer-rc-empfaenger-6-a-master-c6354-p265511.html?search=bec" xr:uid="{1B65F8F3-E3CA-433B-813C-8D0AA9142BBB}"/>
    <hyperlink ref="F37" r:id="rId25" display="https://www.reichelt.de/dc-dc-konverter-12-7-v-5-a-ve-tr-24-12-5-p300230.html?PROVID=2788&amp;gad_source=1&amp;gclid=Cj0KCQiA88a5BhDPARIsAFj595itVajb0nGR9eje9aN6QLm5NaqKUzUjDppCxFhv31e97Pt6-lb7kFMaAonCEALw_wcB" xr:uid="{2D3A2149-C998-4265-B319-FF6A644BA03C}"/>
    <hyperlink ref="F38" r:id="rId26" display="https://www.reichelt.de/arduino-relais-spdt-30-a-sla-05vdc-sl-c-grv-relay-spdt30-p243033.html?PROVID=2788&amp;gad_source=1&amp;gclid=Cj0KCQiA88a5BhDPARIsAFj595iq1oQGp-4rryg-Vw4GZ2NddjZqx_RalCaDerzV67RzE8lPYh9D7LkaAlnaEALw_wcB" xr:uid="{38C4820B-E495-47C7-8828-918B2D95C301}"/>
    <hyperlink ref="F39" r:id="rId27" display="https://www.reichelt.de/lithium-tresor-inkl-fireballs-3x-1l-extron-x3363-p253651.html?&amp;nbc=1&amp;trstct=lsbght_sldr::108492" xr:uid="{8F4818AE-554F-411F-9087-80ECBAD4C741}"/>
    <hyperlink ref="F40" r:id="rId28" display="https://www.reichelt.com/ch/de/shop/produkt/lautsprecherkabel_2x2_5mm_10_m_rot_schwarz_cu-364183" xr:uid="{7A501246-70E6-4C1E-8D48-2135238B7D05}"/>
    <hyperlink ref="O32" r:id="rId29" display="https://eu.odriverobotics.com/shop/usb-can-adapter" xr:uid="{14AB2325-B4CB-42DB-B117-9AE80ECA0CD1}"/>
    <hyperlink ref="F30" r:id="rId30" display="https://trampaboards.com/vesc-6-mkvi--trampa-gives-you-maximum-power-p-34848.html" xr:uid="{2FB22424-E4F5-4163-B984-F964DBB20936}"/>
    <hyperlink ref="F31" r:id="rId31" xr:uid="{8600239B-98C9-49DB-BA5B-8BD7E357541F}"/>
  </hyperlinks>
  <pageMargins left="0.78740157499999996" right="0.78740157499999996" top="0.984251969" bottom="0.984251969" header="0.4921259845" footer="0.4921259845"/>
  <pageSetup orientation="portrait" r:id="rId3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12B88B65D844141BB692ADB71EC8B7E" ma:contentTypeVersion="8" ma:contentTypeDescription="Ein neues Dokument erstellen." ma:contentTypeScope="" ma:versionID="a17ec3c18f7714834a1882231cb6eaca">
  <xsd:schema xmlns:xsd="http://www.w3.org/2001/XMLSchema" xmlns:xs="http://www.w3.org/2001/XMLSchema" xmlns:p="http://schemas.microsoft.com/office/2006/metadata/properties" xmlns:ns3="e758fa1f-777e-419a-872f-6a8254b483f9" xmlns:ns4="55b5cf73-56e2-4a75-93cc-e168b5185a67" targetNamespace="http://schemas.microsoft.com/office/2006/metadata/properties" ma:root="true" ma:fieldsID="ab700150d8a539ee5a86d241d6f17575" ns3:_="" ns4:_="">
    <xsd:import namespace="e758fa1f-777e-419a-872f-6a8254b483f9"/>
    <xsd:import namespace="55b5cf73-56e2-4a75-93cc-e168b5185a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8fa1f-777e-419a-872f-6a8254b483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5cf73-56e2-4a75-93cc-e168b5185a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58fa1f-777e-419a-872f-6a8254b483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6698AA-B79B-4E10-8245-532AEE515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58fa1f-777e-419a-872f-6a8254b483f9"/>
    <ds:schemaRef ds:uri="55b5cf73-56e2-4a75-93cc-e168b5185a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D6DDE3-36A2-42A3-9362-9C2B12C34D4F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purl.org/dc/elements/1.1/"/>
    <ds:schemaRef ds:uri="e758fa1f-777e-419a-872f-6a8254b483f9"/>
    <ds:schemaRef ds:uri="http://schemas.microsoft.com/office/2006/documentManagement/types"/>
    <ds:schemaRef ds:uri="http://schemas.openxmlformats.org/package/2006/metadata/core-properties"/>
    <ds:schemaRef ds:uri="55b5cf73-56e2-4a75-93cc-e168b5185a67"/>
  </ds:schemaRefs>
</ds:datastoreItem>
</file>

<file path=customXml/itemProps3.xml><?xml version="1.0" encoding="utf-8"?>
<ds:datastoreItem xmlns:ds="http://schemas.openxmlformats.org/officeDocument/2006/customXml" ds:itemID="{E3DABD09-E3C2-4D9F-8690-CA6EE6A9EC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Laurin Ludwig</dc:creator>
  <cp:keywords/>
  <dc:description/>
  <cp:lastModifiedBy>Laurin Ludwig</cp:lastModifiedBy>
  <cp:revision/>
  <dcterms:created xsi:type="dcterms:W3CDTF">2024-10-30T09:15:09Z</dcterms:created>
  <dcterms:modified xsi:type="dcterms:W3CDTF">2025-11-17T15:20:05Z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0x010100912B88B65D844141BB692ADB71EC8B7E</vt:lpwstr>
  </property>
</Properties>
</file>